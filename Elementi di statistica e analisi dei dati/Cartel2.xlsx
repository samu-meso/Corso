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oa\Desktop\Corso\Elementi di statistica e analisi dei dati\"/>
    </mc:Choice>
  </mc:AlternateContent>
  <xr:revisionPtr revIDLastSave="0" documentId="10_ncr:0_{08BF17FF-7A83-43F2-9D0E-A6C404EC4D50}" xr6:coauthVersionLast="36" xr6:coauthVersionMax="36" xr10:uidLastSave="{00000000-0000-0000-0000-000000000000}"/>
  <bookViews>
    <workbookView xWindow="0" yWindow="0" windowWidth="19008" windowHeight="8940" activeTab="5" xr2:uid="{90A1638F-B9BD-49A5-8D6F-149358A3223A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6" l="1"/>
  <c r="F2" i="6"/>
  <c r="G2" i="6"/>
  <c r="E2" i="6"/>
  <c r="D5" i="5"/>
  <c r="D3" i="5"/>
  <c r="D4" i="5"/>
  <c r="D6" i="5"/>
  <c r="D2" i="5"/>
  <c r="F2" i="3"/>
  <c r="E21" i="2"/>
  <c r="D2" i="2"/>
  <c r="D4" i="2"/>
  <c r="D3" i="2"/>
  <c r="D3" i="1"/>
  <c r="D2" i="1"/>
  <c r="C3" i="1"/>
  <c r="C2" i="1"/>
  <c r="B3" i="1"/>
  <c r="B2" i="1"/>
</calcChain>
</file>

<file path=xl/sharedStrings.xml><?xml version="1.0" encoding="utf-8"?>
<sst xmlns="http://schemas.openxmlformats.org/spreadsheetml/2006/main" count="88" uniqueCount="46">
  <si>
    <t>Orario</t>
  </si>
  <si>
    <t>Ora</t>
  </si>
  <si>
    <t>Minuto</t>
  </si>
  <si>
    <t>Orario formattato</t>
  </si>
  <si>
    <t>Giorno</t>
  </si>
  <si>
    <t>Stato</t>
  </si>
  <si>
    <t>Presente</t>
  </si>
  <si>
    <t>Ferie</t>
  </si>
  <si>
    <t>Assente</t>
  </si>
  <si>
    <t>Data</t>
  </si>
  <si>
    <t>Prodotto</t>
  </si>
  <si>
    <t>Quantità</t>
  </si>
  <si>
    <t>Prezzo_U</t>
  </si>
  <si>
    <t>Totale vendita</t>
  </si>
  <si>
    <t>Prodotto A</t>
  </si>
  <si>
    <t>Prodotto B</t>
  </si>
  <si>
    <t>Prodotto C</t>
  </si>
  <si>
    <t>A</t>
  </si>
  <si>
    <t>B</t>
  </si>
  <si>
    <t>C</t>
  </si>
  <si>
    <t>Mese</t>
  </si>
  <si>
    <t>Importo</t>
  </si>
  <si>
    <t>Penna</t>
  </si>
  <si>
    <t>Quaderno</t>
  </si>
  <si>
    <t>Gennaio</t>
  </si>
  <si>
    <t>Febbraio</t>
  </si>
  <si>
    <t>Scritto (A)</t>
  </si>
  <si>
    <t>Scritto (B)</t>
  </si>
  <si>
    <t>Scritto (c)</t>
  </si>
  <si>
    <t>Nome</t>
  </si>
  <si>
    <t>Marco</t>
  </si>
  <si>
    <t>Lucia</t>
  </si>
  <si>
    <t>Fabio</t>
  </si>
  <si>
    <t>Giulia</t>
  </si>
  <si>
    <t>Laura</t>
  </si>
  <si>
    <t>Giorni lavorati</t>
  </si>
  <si>
    <t>Ore straordinario</t>
  </si>
  <si>
    <t>Bonus</t>
  </si>
  <si>
    <t>Codice</t>
  </si>
  <si>
    <t>P001</t>
  </si>
  <si>
    <t>P002</t>
  </si>
  <si>
    <t>P003</t>
  </si>
  <si>
    <t>P004</t>
  </si>
  <si>
    <t>Gomma</t>
  </si>
  <si>
    <t>Righello</t>
  </si>
  <si>
    <t>Prezzo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</si>
</sst>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4270-72C3-4B96-A579-1AC1F27FD4E9}">
  <dimension ref="A1:D3"/>
  <sheetViews>
    <sheetView topLeftCell="A16" zoomScale="205" zoomScaleNormal="205" workbookViewId="0">
      <selection activeCell="D11" sqref="D11"/>
    </sheetView>
  </sheetViews>
  <sheetFormatPr defaultRowHeight="14.4" x14ac:dyDescent="0.3"/>
  <cols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0.6088541666666667</v>
      </c>
      <c r="B2">
        <f>HOUR(A2)</f>
        <v>14</v>
      </c>
      <c r="C2">
        <f>MINUTE(A2)</f>
        <v>36</v>
      </c>
      <c r="D2" t="str">
        <f>B2 &amp; ":" &amp; C2</f>
        <v>14:36</v>
      </c>
    </row>
    <row r="3" spans="1:4" x14ac:dyDescent="0.3">
      <c r="A3" s="1">
        <v>0.33819444444444446</v>
      </c>
      <c r="B3">
        <f>HOUR(A3)</f>
        <v>8</v>
      </c>
      <c r="C3">
        <f>MINUTE(A3)</f>
        <v>7</v>
      </c>
      <c r="D3" t="str">
        <f>B3 &amp; ":" &amp; C3</f>
        <v>8:7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DF59-3EBA-481B-9DE9-C9F3635BF493}">
  <dimension ref="A1:E42"/>
  <sheetViews>
    <sheetView topLeftCell="A33" zoomScale="190" zoomScaleNormal="190" workbookViewId="0">
      <selection activeCell="C42" sqref="A36:C42"/>
    </sheetView>
  </sheetViews>
  <sheetFormatPr defaultRowHeight="14.4" x14ac:dyDescent="0.3"/>
  <cols>
    <col min="1" max="1" width="10.88671875" bestFit="1" customWidth="1"/>
    <col min="2" max="2" width="9.88671875" bestFit="1" customWidth="1"/>
    <col min="5" max="5" width="12.6640625" bestFit="1" customWidth="1"/>
  </cols>
  <sheetData>
    <row r="1" spans="1:5" x14ac:dyDescent="0.3">
      <c r="A1" t="s">
        <v>4</v>
      </c>
      <c r="B1" t="s">
        <v>5</v>
      </c>
    </row>
    <row r="2" spans="1:5" x14ac:dyDescent="0.3">
      <c r="A2" s="2">
        <v>45870</v>
      </c>
      <c r="B2" t="s">
        <v>6</v>
      </c>
      <c r="D2">
        <f>COUNTIFS($B$2:$B$11,"Presente")</f>
        <v>6</v>
      </c>
      <c r="E2" t="s">
        <v>6</v>
      </c>
    </row>
    <row r="3" spans="1:5" x14ac:dyDescent="0.3">
      <c r="A3" s="2">
        <v>45871</v>
      </c>
      <c r="B3" t="s">
        <v>6</v>
      </c>
      <c r="D3">
        <f>COUNTIFS($B$2:$B$11,"Assente")</f>
        <v>2</v>
      </c>
      <c r="E3" t="s">
        <v>8</v>
      </c>
    </row>
    <row r="4" spans="1:5" x14ac:dyDescent="0.3">
      <c r="A4" s="2">
        <v>45872</v>
      </c>
      <c r="B4" t="s">
        <v>7</v>
      </c>
      <c r="D4">
        <f>COUNTIFS($B$2:$B$11,"Ferie")</f>
        <v>2</v>
      </c>
      <c r="E4" t="s">
        <v>7</v>
      </c>
    </row>
    <row r="5" spans="1:5" x14ac:dyDescent="0.3">
      <c r="A5" s="2">
        <v>45873</v>
      </c>
      <c r="B5" t="s">
        <v>6</v>
      </c>
    </row>
    <row r="6" spans="1:5" x14ac:dyDescent="0.3">
      <c r="A6" s="2">
        <v>45874</v>
      </c>
      <c r="B6" t="s">
        <v>8</v>
      </c>
    </row>
    <row r="7" spans="1:5" x14ac:dyDescent="0.3">
      <c r="A7" s="2">
        <v>45875</v>
      </c>
      <c r="B7" t="s">
        <v>6</v>
      </c>
    </row>
    <row r="8" spans="1:5" x14ac:dyDescent="0.3">
      <c r="A8" s="2">
        <v>45876</v>
      </c>
      <c r="B8" t="s">
        <v>7</v>
      </c>
    </row>
    <row r="9" spans="1:5" x14ac:dyDescent="0.3">
      <c r="A9" s="2">
        <v>45877</v>
      </c>
      <c r="B9" t="s">
        <v>6</v>
      </c>
    </row>
    <row r="10" spans="1:5" x14ac:dyDescent="0.3">
      <c r="A10" s="2">
        <v>45878</v>
      </c>
      <c r="B10" t="s">
        <v>6</v>
      </c>
    </row>
    <row r="11" spans="1:5" x14ac:dyDescent="0.3">
      <c r="A11" s="2">
        <v>45879</v>
      </c>
      <c r="B11" t="s">
        <v>8</v>
      </c>
    </row>
    <row r="12" spans="1:5" x14ac:dyDescent="0.3">
      <c r="A12" s="2"/>
    </row>
    <row r="13" spans="1:5" x14ac:dyDescent="0.3">
      <c r="A13" s="2"/>
    </row>
    <row r="20" spans="1:5" x14ac:dyDescent="0.3">
      <c r="A20" t="s">
        <v>9</v>
      </c>
      <c r="B20" t="s">
        <v>10</v>
      </c>
      <c r="C20" t="s">
        <v>11</v>
      </c>
      <c r="D20" t="s">
        <v>12</v>
      </c>
      <c r="E20" t="s">
        <v>13</v>
      </c>
    </row>
    <row r="21" spans="1:5" x14ac:dyDescent="0.3">
      <c r="A21" s="2">
        <v>45658</v>
      </c>
      <c r="B21" t="s">
        <v>14</v>
      </c>
      <c r="C21">
        <v>10</v>
      </c>
      <c r="D21">
        <v>15</v>
      </c>
      <c r="E21" t="e">
        <f>SOMMA.se</f>
        <v>#NAME?</v>
      </c>
    </row>
    <row r="22" spans="1:5" x14ac:dyDescent="0.3">
      <c r="A22" s="2">
        <v>45659</v>
      </c>
      <c r="B22" t="s">
        <v>15</v>
      </c>
      <c r="C22">
        <v>5</v>
      </c>
      <c r="D22">
        <v>20</v>
      </c>
    </row>
    <row r="23" spans="1:5" x14ac:dyDescent="0.3">
      <c r="A23" s="2">
        <v>45660</v>
      </c>
      <c r="B23" t="s">
        <v>14</v>
      </c>
      <c r="C23">
        <v>3</v>
      </c>
      <c r="D23">
        <v>15</v>
      </c>
    </row>
    <row r="24" spans="1:5" x14ac:dyDescent="0.3">
      <c r="A24" s="2">
        <v>45661</v>
      </c>
      <c r="B24" t="s">
        <v>16</v>
      </c>
      <c r="C24">
        <v>7</v>
      </c>
      <c r="D24">
        <v>25</v>
      </c>
    </row>
    <row r="25" spans="1:5" x14ac:dyDescent="0.3">
      <c r="A25" s="2">
        <v>45662</v>
      </c>
      <c r="B25" t="s">
        <v>15</v>
      </c>
      <c r="C25">
        <v>8</v>
      </c>
      <c r="D25">
        <v>20</v>
      </c>
    </row>
    <row r="36" spans="1:3" x14ac:dyDescent="0.3">
      <c r="A36" t="s">
        <v>17</v>
      </c>
      <c r="B36" t="s">
        <v>18</v>
      </c>
      <c r="C36" t="s">
        <v>19</v>
      </c>
    </row>
    <row r="37" spans="1:3" x14ac:dyDescent="0.3">
      <c r="A37" t="s">
        <v>10</v>
      </c>
      <c r="B37" t="s">
        <v>20</v>
      </c>
      <c r="C37" t="s">
        <v>21</v>
      </c>
    </row>
    <row r="38" spans="1:3" x14ac:dyDescent="0.3">
      <c r="A38" t="s">
        <v>22</v>
      </c>
      <c r="B38" t="s">
        <v>24</v>
      </c>
      <c r="C38">
        <v>150</v>
      </c>
    </row>
    <row r="39" spans="1:3" x14ac:dyDescent="0.3">
      <c r="A39" t="s">
        <v>23</v>
      </c>
      <c r="B39" t="s">
        <v>24</v>
      </c>
      <c r="C39">
        <v>200</v>
      </c>
    </row>
    <row r="40" spans="1:3" x14ac:dyDescent="0.3">
      <c r="A40" t="s">
        <v>22</v>
      </c>
      <c r="B40" t="s">
        <v>25</v>
      </c>
      <c r="C40">
        <v>120</v>
      </c>
    </row>
    <row r="41" spans="1:3" x14ac:dyDescent="0.3">
      <c r="A41" t="s">
        <v>23</v>
      </c>
      <c r="B41" t="s">
        <v>25</v>
      </c>
      <c r="C41">
        <v>220</v>
      </c>
    </row>
    <row r="42" spans="1:3" x14ac:dyDescent="0.3">
      <c r="A42" t="s">
        <v>22</v>
      </c>
      <c r="B42" t="s">
        <v>24</v>
      </c>
      <c r="C4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E1C9-7F20-4624-B3EF-8F33C59143D0}">
  <dimension ref="A1:F7"/>
  <sheetViews>
    <sheetView zoomScale="175" zoomScaleNormal="175" workbookViewId="0">
      <selection activeCell="F2" sqref="F2"/>
    </sheetView>
  </sheetViews>
  <sheetFormatPr defaultRowHeight="14.4" x14ac:dyDescent="0.3"/>
  <sheetData>
    <row r="1" spans="1:6" x14ac:dyDescent="0.3">
      <c r="A1" t="s">
        <v>17</v>
      </c>
      <c r="B1" t="s">
        <v>18</v>
      </c>
      <c r="C1" t="s">
        <v>19</v>
      </c>
    </row>
    <row r="2" spans="1:6" x14ac:dyDescent="0.3">
      <c r="A2" t="s">
        <v>10</v>
      </c>
      <c r="B2" t="s">
        <v>20</v>
      </c>
      <c r="C2" t="s">
        <v>21</v>
      </c>
      <c r="F2">
        <f>SUMIFS(C2:C7,A2:A7,"Penna",B2:B7,"Gennaio")</f>
        <v>330</v>
      </c>
    </row>
    <row r="3" spans="1:6" x14ac:dyDescent="0.3">
      <c r="A3" t="s">
        <v>22</v>
      </c>
      <c r="B3" t="s">
        <v>24</v>
      </c>
      <c r="C3">
        <v>150</v>
      </c>
    </row>
    <row r="4" spans="1:6" x14ac:dyDescent="0.3">
      <c r="A4" t="s">
        <v>23</v>
      </c>
      <c r="B4" t="s">
        <v>24</v>
      </c>
      <c r="C4">
        <v>200</v>
      </c>
    </row>
    <row r="5" spans="1:6" x14ac:dyDescent="0.3">
      <c r="A5" t="s">
        <v>22</v>
      </c>
      <c r="B5" t="s">
        <v>25</v>
      </c>
      <c r="C5">
        <v>120</v>
      </c>
    </row>
    <row r="6" spans="1:6" x14ac:dyDescent="0.3">
      <c r="A6" t="s">
        <v>23</v>
      </c>
      <c r="B6" t="s">
        <v>25</v>
      </c>
      <c r="C6">
        <v>220</v>
      </c>
    </row>
    <row r="7" spans="1:6" x14ac:dyDescent="0.3">
      <c r="A7" t="s">
        <v>22</v>
      </c>
      <c r="B7" t="s">
        <v>24</v>
      </c>
      <c r="C7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3649-4F63-414D-918C-00A88A200A43}">
  <dimension ref="A1:C4"/>
  <sheetViews>
    <sheetView zoomScale="190" zoomScaleNormal="190" workbookViewId="0">
      <selection activeCell="C4" sqref="A1:C4"/>
    </sheetView>
  </sheetViews>
  <sheetFormatPr defaultRowHeight="14.4" x14ac:dyDescent="0.3"/>
  <cols>
    <col min="1" max="1" width="9.21875" bestFit="1" customWidth="1"/>
    <col min="2" max="2" width="9.109375" bestFit="1" customWidth="1"/>
    <col min="3" max="3" width="9.21875" bestFit="1" customWidth="1"/>
  </cols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>
        <v>5</v>
      </c>
      <c r="B2">
        <v>7</v>
      </c>
    </row>
    <row r="3" spans="1:3" x14ac:dyDescent="0.3">
      <c r="A3">
        <v>4</v>
      </c>
      <c r="B3">
        <v>5</v>
      </c>
    </row>
    <row r="4" spans="1:3" x14ac:dyDescent="0.3">
      <c r="A4">
        <v>6</v>
      </c>
      <c r="B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FAE9-9FBB-41D9-BA19-F9605AC4115D}">
  <dimension ref="A1:D6"/>
  <sheetViews>
    <sheetView zoomScale="175" zoomScaleNormal="175" workbookViewId="0">
      <selection activeCell="E12" sqref="E12"/>
    </sheetView>
  </sheetViews>
  <sheetFormatPr defaultRowHeight="14.4" x14ac:dyDescent="0.3"/>
  <cols>
    <col min="2" max="2" width="13.109375" bestFit="1" customWidth="1"/>
    <col min="3" max="3" width="15.109375" bestFit="1" customWidth="1"/>
    <col min="4" max="4" width="12.44140625" bestFit="1" customWidth="1"/>
  </cols>
  <sheetData>
    <row r="1" spans="1:4" x14ac:dyDescent="0.3">
      <c r="A1" t="s">
        <v>29</v>
      </c>
      <c r="B1" t="s">
        <v>35</v>
      </c>
      <c r="C1" t="s">
        <v>36</v>
      </c>
      <c r="D1" t="s">
        <v>37</v>
      </c>
    </row>
    <row r="2" spans="1:4" x14ac:dyDescent="0.3">
      <c r="A2" t="s">
        <v>30</v>
      </c>
      <c r="B2">
        <v>22</v>
      </c>
      <c r="C2">
        <v>12</v>
      </c>
      <c r="D2" t="str">
        <f>IF(AND(B2&gt;=20,C2&gt;=10),"Bonus pieno",IF(OR(B2&gt;=20,C2&gt;=10),"Bonus ridotto"))</f>
        <v>Bonus pieno</v>
      </c>
    </row>
    <row r="3" spans="1:4" x14ac:dyDescent="0.3">
      <c r="A3" t="s">
        <v>31</v>
      </c>
      <c r="B3">
        <v>19</v>
      </c>
      <c r="C3">
        <v>10</v>
      </c>
      <c r="D3" t="str">
        <f t="shared" ref="D3:D6" si="0">IF(AND(B3&gt;=20,C3&gt;=10),"Bonus pieno",IF(OR(B3&gt;=20,C3&gt;=10),"Bonus ridotto"))</f>
        <v>Bonus ridotto</v>
      </c>
    </row>
    <row r="4" spans="1:4" x14ac:dyDescent="0.3">
      <c r="A4" t="s">
        <v>32</v>
      </c>
      <c r="B4">
        <v>20</v>
      </c>
      <c r="C4">
        <v>5</v>
      </c>
      <c r="D4" t="str">
        <f t="shared" si="0"/>
        <v>Bonus ridotto</v>
      </c>
    </row>
    <row r="5" spans="1:4" x14ac:dyDescent="0.3">
      <c r="A5" t="s">
        <v>33</v>
      </c>
      <c r="B5">
        <v>17</v>
      </c>
      <c r="C5">
        <v>3</v>
      </c>
      <c r="D5" t="str">
        <f>IF(AND(B5&gt;=20,C5&gt;=10),"Bonus pieno",IF(OR(B5&gt;=20,C5&gt;=10),"Bonus ridotto","Nessun bonus"))</f>
        <v>Nessun bonus</v>
      </c>
    </row>
    <row r="6" spans="1:4" x14ac:dyDescent="0.3">
      <c r="A6" t="s">
        <v>34</v>
      </c>
      <c r="B6">
        <v>20</v>
      </c>
      <c r="C6">
        <v>10</v>
      </c>
      <c r="D6" t="str">
        <f t="shared" si="0"/>
        <v>Bonus pieno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871B-0B3D-4F3F-86DF-3D0E4F0F5563}">
  <dimension ref="A1:H5"/>
  <sheetViews>
    <sheetView tabSelected="1" zoomScale="175" zoomScaleNormal="175" workbookViewId="0">
      <selection activeCell="E6" sqref="E6"/>
    </sheetView>
  </sheetViews>
  <sheetFormatPr defaultRowHeight="14.4" x14ac:dyDescent="0.3"/>
  <cols>
    <col min="2" max="2" width="9.109375" bestFit="1" customWidth="1"/>
  </cols>
  <sheetData>
    <row r="1" spans="1:8" x14ac:dyDescent="0.3">
      <c r="A1" t="s">
        <v>38</v>
      </c>
      <c r="B1" t="s">
        <v>10</v>
      </c>
      <c r="C1" t="s">
        <v>45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3">
      <c r="A2" t="s">
        <v>39</v>
      </c>
      <c r="B2" t="s">
        <v>22</v>
      </c>
      <c r="C2">
        <v>1.5</v>
      </c>
      <c r="E2" t="str">
        <f>VLOOKUP(E1,$A$2:$C$5, 2, FALSE)</f>
        <v>Penna</v>
      </c>
      <c r="F2" t="str">
        <f t="shared" ref="F2:G2" si="0">VLOOKUP(F1,$A$2:$C$5, 2, FALSE)</f>
        <v>Quaderno</v>
      </c>
      <c r="G2" t="str">
        <f t="shared" si="0"/>
        <v>Gomma</v>
      </c>
      <c r="H2" t="str">
        <f>VLOOKUP(H1,$A$2:$C$5, 2, FALSE)</f>
        <v>Righello</v>
      </c>
    </row>
    <row r="3" spans="1:8" x14ac:dyDescent="0.3">
      <c r="A3" t="s">
        <v>40</v>
      </c>
      <c r="B3" t="s">
        <v>23</v>
      </c>
      <c r="C3">
        <v>2</v>
      </c>
    </row>
    <row r="4" spans="1:8" x14ac:dyDescent="0.3">
      <c r="A4" t="s">
        <v>41</v>
      </c>
      <c r="B4" t="s">
        <v>43</v>
      </c>
      <c r="C4">
        <v>0.8</v>
      </c>
    </row>
    <row r="5" spans="1:8" x14ac:dyDescent="0.3">
      <c r="A5" t="s">
        <v>42</v>
      </c>
      <c r="B5" t="s">
        <v>44</v>
      </c>
      <c r="C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Foglio2</vt:lpstr>
      <vt:lpstr>Foglio3</vt:lpstr>
      <vt:lpstr>Foglio4</vt:lpstr>
      <vt:lpstr>Foglio5</vt:lpstr>
      <vt:lpstr>Foglio6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IFOA</dc:creator>
  <cp:lastModifiedBy>IFOA</cp:lastModifiedBy>
  <dcterms:created xsi:type="dcterms:W3CDTF">2026-02-10T13:19:07Z</dcterms:created>
  <dcterms:modified xsi:type="dcterms:W3CDTF">2026-02-10T23:33:52Z</dcterms:modified>
</cp:coreProperties>
</file>